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500"/>
  </bookViews>
  <sheets>
    <sheet name="Simula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<sst xmlns="http://schemas.openxmlformats.org/spreadsheetml/2006/main" count="23" uniqueCount="23">
  <si>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Simulador de Investimentos em Fundos Imobiliários (FIIs)</t>
  </si>
  <si>
    <t>DADOS DE ENTRADA (edite as células amarelas)</t>
  </si>
  <si>
    <t>Valor inicial investido (R$)</t>
  </si>
  <si>
    <t>Aporte mensal (R$)</t>
  </si>
  <si>
    <t>Preço médio da cota (R$)</t>
  </si>
  <si>
    <t>Taxa de rendimento mensal (dividend yield)</t>
  </si>
  <si>
    <t>Valorização mensal esperada da cota</t>
  </si>
  <si>
    <t>Prazo da simulação (meses)</t>
  </si>
  <si>
    <t>Observação: valores de exemplo. Taxa de rendimento (dividend yield) e valorização são estimativas do usuário, não garantias — fundos imobiliários têm renda variável. Fonte de referência de mercado: relatórios gerenciais dos FIIs e B3 (www.b3.com.br).</t>
  </si>
  <si>
    <t>RESULTADOS DA SIMULAÇÃO</t>
  </si>
  <si>
    <t>Valor total investido (R$)</t>
  </si>
  <si>
    <t>Número de cotas adquiridas (estimado)</t>
  </si>
  <si>
    <t>Patrimônio acumulado final (R$)</t>
  </si>
  <si>
    <t>Total de dividendos recebidos (R$)</t>
  </si>
  <si>
    <t>Rendimento total (patrimônio + dividendos - investido) (R$)</t>
  </si>
  <si>
    <t>Rendimento total (%)</t>
  </si>
  <si>
    <t>EVOLUÇÃO MENSAL DO INVESTIMENTO</t>
  </si>
  <si>
    <t>Mês</t>
  </si>
  <si>
    <t>Aporte do mês (R$)</t>
  </si>
  <si>
    <t>Valor investido acumulado (R$)</t>
  </si>
  <si>
    <t>Patrimônio (valor de mercado) (R$)</t>
  </si>
  <si>
    <t>Dividendo do mês (R$)</t>
  </si>
  <si>
    <t>Dividendos acumulados (R$)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</si>
</sst>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&quot;R$ &quot;#,##0.00"/>
  </numFmts>
  <fonts count="29">
    <font>
      <sz val="11"/>
      <color theme="1"/>
      <name val="Calibri"/>
      <charset val="1"/>
    </font>
    <font>
      <b/>
      <sz val="16"/>
      <color rgb="FF1F4E78"/>
      <name val="Arial"/>
      <charset val="1"/>
    </font>
    <font>
      <b/>
      <sz val="12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FF"/>
      <name val="Arial"/>
      <charset val="1"/>
    </font>
    <font>
      <sz val="9"/>
      <color theme="1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Border="0" applyAlignment="0" applyProtection="0"/>
    <xf numFmtId="177" fontId="8" fillId="0" borderId="0" applyBorder="0" applyAlignment="0" applyProtection="0"/>
    <xf numFmtId="9" fontId="8" fillId="0" borderId="0" applyBorder="0" applyAlignment="0" applyProtection="0"/>
    <xf numFmtId="178" fontId="8" fillId="0" borderId="0" applyBorder="0" applyAlignment="0" applyProtection="0"/>
    <xf numFmtId="179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0" xfId="0" applyFill="1" applyBorder="1"/>
    <xf numFmtId="0" fontId="3" fillId="3" borderId="2" xfId="0" applyFont="1" applyFill="1" applyBorder="1"/>
    <xf numFmtId="180" fontId="4" fillId="4" borderId="2" xfId="0" applyNumberFormat="1" applyFont="1" applyFill="1" applyBorder="1" applyAlignment="1">
      <alignment horizontal="right"/>
    </xf>
    <xf numFmtId="10" fontId="4" fillId="4" borderId="2" xfId="0" applyNumberFormat="1" applyFont="1" applyFill="1" applyBorder="1" applyAlignment="1">
      <alignment horizontal="right"/>
    </xf>
    <xf numFmtId="1" fontId="4" fillId="4" borderId="2" xfId="0" applyNumberFormat="1" applyFont="1" applyFill="1" applyBorder="1" applyAlignment="1">
      <alignment horizontal="right"/>
    </xf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2" borderId="1" xfId="0" applyFont="1" applyFill="1" applyBorder="1"/>
    <xf numFmtId="0" fontId="7" fillId="3" borderId="2" xfId="0" applyFont="1" applyFill="1" applyBorder="1"/>
    <xf numFmtId="180" fontId="7" fillId="5" borderId="2" xfId="0" applyNumberFormat="1" applyFont="1" applyFill="1" applyBorder="1"/>
    <xf numFmtId="3" fontId="7" fillId="5" borderId="2" xfId="0" applyNumberFormat="1" applyFont="1" applyFill="1" applyBorder="1"/>
    <xf numFmtId="10" fontId="7" fillId="5" borderId="2" xfId="0" applyNumberFormat="1" applyFont="1" applyFill="1" applyBorder="1"/>
    <xf numFmtId="0" fontId="7" fillId="6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80" fontId="3" fillId="0" borderId="2" xfId="0" applyNumberFormat="1" applyFont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993366"/>
      <rgbColor rgb="00FFFF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2</xdr:row>
      <xdr:rowOff>68580</xdr:rowOff>
    </xdr:from>
    <xdr:to>
      <xdr:col>6</xdr:col>
      <xdr:colOff>12065</xdr:colOff>
      <xdr:row>10</xdr:row>
      <xdr:rowOff>189230</xdr:rowOff>
    </xdr:to>
    <xdr:pic>
      <xdr:nvPicPr>
        <xdr:cNvPr id="2" name="Imagem 1" descr="Gemini_Generated_Image_37g0qy37g0qy37g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3360" y="518160"/>
          <a:ext cx="8767445" cy="225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93"/>
  <sheetViews>
    <sheetView showGridLines="0" tabSelected="1" topLeftCell="A18" workbookViewId="0">
      <pane xSplit="1" topLeftCell="B1" activePane="topRight" state="frozen"/>
      <selection/>
      <selection pane="topRight" activeCell="I8" sqref="I8"/>
    </sheetView>
  </sheetViews>
  <sheetFormatPr defaultColWidth="8.67592592592593" defaultRowHeight="14.4" outlineLevelCol="6"/>
  <cols>
    <col min="1" max="1" width="3" customWidth="1"/>
    <col min="2" max="2" width="41.2222222222222" customWidth="1"/>
    <col min="3" max="3" width="21.7777777777778" customWidth="1"/>
    <col min="4" max="4" width="12.7777777777778" customWidth="1"/>
    <col min="5" max="5" width="34" customWidth="1"/>
    <col min="6" max="6" width="18" customWidth="1"/>
    <col min="7" max="7" width="13.2222222222222" customWidth="1"/>
  </cols>
  <sheetData>
    <row r="2" ht="21" spans="2:6">
      <c r="B2" s="1" t="s">
        <v>0</v>
      </c>
      <c r="C2" s="1"/>
      <c r="D2" s="1"/>
      <c r="E2" s="1"/>
      <c r="F2" s="1"/>
    </row>
    <row r="3" ht="21" spans="2:6">
      <c r="B3" s="2"/>
      <c r="C3" s="2"/>
      <c r="D3" s="2"/>
      <c r="E3" s="2"/>
      <c r="F3" s="2"/>
    </row>
    <row r="4" ht="21" spans="2:6">
      <c r="B4" s="2"/>
      <c r="C4" s="2"/>
      <c r="D4" s="2"/>
      <c r="E4" s="2"/>
      <c r="F4" s="2"/>
    </row>
    <row r="5" ht="21" spans="2:6">
      <c r="B5" s="2"/>
      <c r="C5" s="2"/>
      <c r="D5" s="2"/>
      <c r="E5" s="2"/>
      <c r="F5" s="2"/>
    </row>
    <row r="6" ht="21" spans="2:6">
      <c r="B6" s="2"/>
      <c r="C6" s="2"/>
      <c r="D6" s="2"/>
      <c r="E6" s="2"/>
      <c r="F6" s="2"/>
    </row>
    <row r="7" ht="21" spans="2:6">
      <c r="B7" s="2"/>
      <c r="C7" s="2"/>
      <c r="D7" s="2"/>
      <c r="E7" s="2"/>
      <c r="F7" s="2"/>
    </row>
    <row r="8" ht="21" spans="2:6">
      <c r="B8" s="2"/>
      <c r="C8" s="2"/>
      <c r="D8" s="2"/>
      <c r="E8" s="2"/>
      <c r="F8" s="2"/>
    </row>
    <row r="9" ht="21" spans="2:6">
      <c r="B9" s="2"/>
      <c r="C9" s="2"/>
      <c r="D9" s="2"/>
      <c r="E9" s="2"/>
      <c r="F9" s="2"/>
    </row>
    <row r="10" ht="21" spans="2:6">
      <c r="B10" s="2"/>
      <c r="C10" s="2"/>
      <c r="D10" s="2"/>
      <c r="E10" s="2"/>
      <c r="F10" s="2"/>
    </row>
    <row r="11" ht="21" spans="2:6">
      <c r="B11" s="2"/>
      <c r="C11" s="2"/>
      <c r="D11" s="2"/>
      <c r="E11" s="2"/>
      <c r="F11" s="2"/>
    </row>
    <row r="13" ht="15.6" spans="2:6">
      <c r="B13" s="3" t="s">
        <v>1</v>
      </c>
      <c r="C13" s="3"/>
      <c r="D13" s="4"/>
      <c r="E13" s="4"/>
      <c r="F13" s="4"/>
    </row>
    <row r="14" spans="2:6">
      <c r="B14" s="5" t="s">
        <v>2</v>
      </c>
      <c r="C14" s="6">
        <v>5000</v>
      </c>
    </row>
    <row r="15" spans="2:6">
      <c r="B15" s="5" t="s">
        <v>3</v>
      </c>
      <c r="C15" s="6">
        <v>500</v>
      </c>
    </row>
    <row r="16" spans="2:6">
      <c r="B16" s="5" t="s">
        <v>4</v>
      </c>
      <c r="C16" s="6">
        <v>100</v>
      </c>
    </row>
    <row r="17" spans="2:7">
      <c r="B17" s="5" t="s">
        <v>5</v>
      </c>
      <c r="C17" s="7">
        <v>0.008</v>
      </c>
    </row>
    <row r="18" spans="2:7">
      <c r="B18" s="5" t="s">
        <v>6</v>
      </c>
      <c r="C18" s="7">
        <v>0.003</v>
      </c>
    </row>
    <row r="19" spans="2:7">
      <c r="B19" s="5" t="s">
        <v>7</v>
      </c>
      <c r="C19" s="8">
        <v>24</v>
      </c>
    </row>
    <row r="21" ht="30" customHeight="1" spans="2:7">
      <c r="B21" s="9" t="s">
        <v>8</v>
      </c>
      <c r="C21" s="10"/>
      <c r="D21" s="10"/>
      <c r="E21" s="10"/>
      <c r="F21" s="10"/>
    </row>
    <row r="23" ht="15.6" spans="2:7">
      <c r="B23" s="11" t="s">
        <v>9</v>
      </c>
      <c r="C23" s="11"/>
      <c r="D23" s="4"/>
      <c r="E23" s="4"/>
      <c r="F23" s="4"/>
    </row>
    <row r="24" spans="2:7">
      <c r="B24" s="12" t="s">
        <v>10</v>
      </c>
      <c r="C24" s="13">
        <f>INDEX(D33:D93,MATCH($C$19,B33:B93,0))</f>
        <v>17000</v>
      </c>
    </row>
    <row r="25" spans="2:7">
      <c r="B25" s="12" t="s">
        <v>11</v>
      </c>
      <c r="C25" s="14">
        <f>C24/$C$16</f>
        <v>170</v>
      </c>
    </row>
    <row r="26" spans="2:7">
      <c r="B26" s="12" t="s">
        <v>12</v>
      </c>
      <c r="C26" s="13">
        <f>INDEX(E33:E93,MATCH($C$19,B33:B93,0))</f>
        <v>17795.9507845591</v>
      </c>
    </row>
    <row r="27" spans="2:7">
      <c r="B27" s="12" t="s">
        <v>13</v>
      </c>
      <c r="C27" s="13">
        <f>INDEX(G33:G93,MATCH($C$19,B33:B93,0))</f>
        <v>2122.53542549106</v>
      </c>
    </row>
    <row r="28" spans="2:7">
      <c r="B28" s="12" t="s">
        <v>14</v>
      </c>
      <c r="C28" s="13">
        <f>C26+C27-C24</f>
        <v>2918.48621005018</v>
      </c>
    </row>
    <row r="29" spans="2:7">
      <c r="B29" s="12" t="s">
        <v>15</v>
      </c>
      <c r="C29" s="15">
        <f>C28/C24</f>
        <v>0.171675659414716</v>
      </c>
    </row>
    <row r="31" ht="15.6" spans="2:7">
      <c r="B31" s="11" t="s">
        <v>16</v>
      </c>
      <c r="C31" s="11"/>
      <c r="D31" s="11"/>
      <c r="E31" s="11"/>
      <c r="F31" s="11"/>
      <c r="G31" s="11"/>
    </row>
    <row r="32" ht="30" customHeight="1" spans="2:7">
      <c r="B32" s="16" t="s">
        <v>17</v>
      </c>
      <c r="C32" s="16" t="s">
        <v>18</v>
      </c>
      <c r="D32" s="16" t="s">
        <v>19</v>
      </c>
      <c r="E32" s="16" t="s">
        <v>20</v>
      </c>
      <c r="F32" s="16" t="s">
        <v>21</v>
      </c>
      <c r="G32" s="16" t="s">
        <v>22</v>
      </c>
    </row>
    <row r="33" spans="2:7">
      <c r="B33" s="17">
        <v>0</v>
      </c>
      <c r="C33" s="18">
        <f>$C$14</f>
        <v>5000</v>
      </c>
      <c r="D33" s="18">
        <f>$C$14</f>
        <v>5000</v>
      </c>
      <c r="E33" s="18">
        <f>$C$14</f>
        <v>5000</v>
      </c>
      <c r="F33" s="18">
        <v>0</v>
      </c>
      <c r="G33" s="18">
        <v>0</v>
      </c>
    </row>
    <row r="34" spans="2:7">
      <c r="B34" s="17">
        <f t="shared" ref="B34:B93" si="0">IF(B33="","",IF(B33+1&lt;=$C$19,B33+1,""))</f>
        <v>1</v>
      </c>
      <c r="C34" s="18">
        <f t="shared" ref="C34:C93" si="1">IF($B34="","",$C$15)</f>
        <v>500</v>
      </c>
      <c r="D34" s="18">
        <f t="shared" ref="D34:D93" si="2">IF($B34="","",D33+C34)</f>
        <v>5500</v>
      </c>
      <c r="E34" s="18">
        <f t="shared" ref="E34:E93" si="3">IF($B34="","",E33*(1+$C$18)+C34)</f>
        <v>5515</v>
      </c>
      <c r="F34" s="18">
        <f t="shared" ref="F34:F93" si="4">IF($B34="","",E33*$C$17)</f>
        <v>40</v>
      </c>
      <c r="G34" s="18">
        <f t="shared" ref="G34:G93" si="5">IF($B34="","",G33+F34)</f>
        <v>40</v>
      </c>
    </row>
    <row r="35" spans="2:7">
      <c r="B35" s="17">
        <f t="shared" si="0"/>
        <v>2</v>
      </c>
      <c r="C35" s="18">
        <f t="shared" si="1"/>
        <v>500</v>
      </c>
      <c r="D35" s="18">
        <f t="shared" si="2"/>
        <v>6000</v>
      </c>
      <c r="E35" s="18">
        <f t="shared" si="3"/>
        <v>6031.545</v>
      </c>
      <c r="F35" s="18">
        <f t="shared" si="4"/>
        <v>44.12</v>
      </c>
      <c r="G35" s="18">
        <f t="shared" si="5"/>
        <v>84.12</v>
      </c>
    </row>
    <row r="36" spans="2:7">
      <c r="B36" s="17">
        <f t="shared" si="0"/>
        <v>3</v>
      </c>
      <c r="C36" s="18">
        <f t="shared" si="1"/>
        <v>500</v>
      </c>
      <c r="D36" s="18">
        <f t="shared" si="2"/>
        <v>6500</v>
      </c>
      <c r="E36" s="18">
        <f t="shared" si="3"/>
        <v>6549.639635</v>
      </c>
      <c r="F36" s="18">
        <f t="shared" si="4"/>
        <v>48.25236</v>
      </c>
      <c r="G36" s="18">
        <f t="shared" si="5"/>
        <v>132.37236</v>
      </c>
    </row>
    <row r="37" spans="2:7">
      <c r="B37" s="17">
        <f t="shared" si="0"/>
        <v>4</v>
      </c>
      <c r="C37" s="18">
        <f t="shared" si="1"/>
        <v>500</v>
      </c>
      <c r="D37" s="18">
        <f t="shared" si="2"/>
        <v>7000</v>
      </c>
      <c r="E37" s="18">
        <f t="shared" si="3"/>
        <v>7069.288553905</v>
      </c>
      <c r="F37" s="18">
        <f t="shared" si="4"/>
        <v>52.39711708</v>
      </c>
      <c r="G37" s="18">
        <f t="shared" si="5"/>
        <v>184.76947708</v>
      </c>
    </row>
    <row r="38" spans="2:7">
      <c r="B38" s="17">
        <f t="shared" si="0"/>
        <v>5</v>
      </c>
      <c r="C38" s="18">
        <f t="shared" si="1"/>
        <v>500</v>
      </c>
      <c r="D38" s="18">
        <f t="shared" si="2"/>
        <v>7500</v>
      </c>
      <c r="E38" s="18">
        <f t="shared" si="3"/>
        <v>7590.49641956671</v>
      </c>
      <c r="F38" s="18">
        <f t="shared" si="4"/>
        <v>56.55430843124</v>
      </c>
      <c r="G38" s="18">
        <f t="shared" si="5"/>
        <v>241.32378551124</v>
      </c>
    </row>
    <row r="39" spans="2:7">
      <c r="B39" s="17">
        <f t="shared" si="0"/>
        <v>6</v>
      </c>
      <c r="C39" s="18">
        <f t="shared" si="1"/>
        <v>500</v>
      </c>
      <c r="D39" s="18">
        <f t="shared" si="2"/>
        <v>8000</v>
      </c>
      <c r="E39" s="18">
        <f t="shared" si="3"/>
        <v>8113.26790882541</v>
      </c>
      <c r="F39" s="18">
        <f t="shared" si="4"/>
        <v>60.7239713565337</v>
      </c>
      <c r="G39" s="18">
        <f t="shared" si="5"/>
        <v>302.047756867774</v>
      </c>
    </row>
    <row r="40" spans="2:7">
      <c r="B40" s="17">
        <f t="shared" si="0"/>
        <v>7</v>
      </c>
      <c r="C40" s="18">
        <f t="shared" si="1"/>
        <v>500</v>
      </c>
      <c r="D40" s="18">
        <f t="shared" si="2"/>
        <v>8500</v>
      </c>
      <c r="E40" s="18">
        <f t="shared" si="3"/>
        <v>8637.60771255189</v>
      </c>
      <c r="F40" s="18">
        <f t="shared" si="4"/>
        <v>64.9061432706033</v>
      </c>
      <c r="G40" s="18">
        <f t="shared" si="5"/>
        <v>366.953900138377</v>
      </c>
    </row>
    <row r="41" spans="2:7">
      <c r="B41" s="17">
        <f t="shared" si="0"/>
        <v>8</v>
      </c>
      <c r="C41" s="18">
        <f t="shared" si="1"/>
        <v>500</v>
      </c>
      <c r="D41" s="18">
        <f t="shared" si="2"/>
        <v>9000</v>
      </c>
      <c r="E41" s="18">
        <f t="shared" si="3"/>
        <v>9163.52053568954</v>
      </c>
      <c r="F41" s="18">
        <f t="shared" si="4"/>
        <v>69.1008617004151</v>
      </c>
      <c r="G41" s="18">
        <f t="shared" si="5"/>
        <v>436.054761838792</v>
      </c>
    </row>
    <row r="42" spans="2:7">
      <c r="B42" s="17">
        <f t="shared" si="0"/>
        <v>9</v>
      </c>
      <c r="C42" s="18">
        <f t="shared" si="1"/>
        <v>500</v>
      </c>
      <c r="D42" s="18">
        <f t="shared" si="2"/>
        <v>9500</v>
      </c>
      <c r="E42" s="18">
        <f t="shared" si="3"/>
        <v>9691.01109729661</v>
      </c>
      <c r="F42" s="18">
        <f t="shared" si="4"/>
        <v>73.3081642855163</v>
      </c>
      <c r="G42" s="18">
        <f t="shared" si="5"/>
        <v>509.362926124308</v>
      </c>
    </row>
    <row r="43" spans="2:7">
      <c r="B43" s="17">
        <f t="shared" si="0"/>
        <v>10</v>
      </c>
      <c r="C43" s="18">
        <f t="shared" si="1"/>
        <v>500</v>
      </c>
      <c r="D43" s="18">
        <f t="shared" si="2"/>
        <v>10000</v>
      </c>
      <c r="E43" s="18">
        <f t="shared" si="3"/>
        <v>10220.0841305885</v>
      </c>
      <c r="F43" s="18">
        <f t="shared" si="4"/>
        <v>77.5280887783729</v>
      </c>
      <c r="G43" s="18">
        <f t="shared" si="5"/>
        <v>586.891014902681</v>
      </c>
    </row>
    <row r="44" spans="2:7">
      <c r="B44" s="17">
        <f t="shared" si="0"/>
        <v>11</v>
      </c>
      <c r="C44" s="18">
        <f t="shared" si="1"/>
        <v>500</v>
      </c>
      <c r="D44" s="18">
        <f t="shared" si="2"/>
        <v>10500</v>
      </c>
      <c r="E44" s="18">
        <f t="shared" si="3"/>
        <v>10750.7443829803</v>
      </c>
      <c r="F44" s="18">
        <f t="shared" si="4"/>
        <v>81.760673044708</v>
      </c>
      <c r="G44" s="18">
        <f t="shared" si="5"/>
        <v>668.651687947389</v>
      </c>
    </row>
    <row r="45" spans="2:7">
      <c r="B45" s="17">
        <f t="shared" si="0"/>
        <v>12</v>
      </c>
      <c r="C45" s="18">
        <f t="shared" si="1"/>
        <v>500</v>
      </c>
      <c r="D45" s="18">
        <f t="shared" si="2"/>
        <v>11000</v>
      </c>
      <c r="E45" s="18">
        <f t="shared" si="3"/>
        <v>11282.9966161292</v>
      </c>
      <c r="F45" s="18">
        <f t="shared" si="4"/>
        <v>86.0059550638421</v>
      </c>
      <c r="G45" s="18">
        <f t="shared" si="5"/>
        <v>754.657643011231</v>
      </c>
    </row>
    <row r="46" spans="2:7">
      <c r="B46" s="17">
        <f t="shared" si="0"/>
        <v>13</v>
      </c>
      <c r="C46" s="18">
        <f t="shared" si="1"/>
        <v>500</v>
      </c>
      <c r="D46" s="18">
        <f t="shared" si="2"/>
        <v>11500</v>
      </c>
      <c r="E46" s="18">
        <f t="shared" si="3"/>
        <v>11816.8456059776</v>
      </c>
      <c r="F46" s="18">
        <f t="shared" si="4"/>
        <v>90.2639729290336</v>
      </c>
      <c r="G46" s="18">
        <f t="shared" si="5"/>
        <v>844.921615940265</v>
      </c>
    </row>
    <row r="47" spans="2:7">
      <c r="B47" s="17">
        <f t="shared" si="0"/>
        <v>14</v>
      </c>
      <c r="C47" s="18">
        <f t="shared" si="1"/>
        <v>500</v>
      </c>
      <c r="D47" s="18">
        <f t="shared" si="2"/>
        <v>12000</v>
      </c>
      <c r="E47" s="18">
        <f t="shared" si="3"/>
        <v>12352.2961427955</v>
      </c>
      <c r="F47" s="18">
        <f t="shared" si="4"/>
        <v>94.5347648478207</v>
      </c>
      <c r="G47" s="18">
        <f t="shared" si="5"/>
        <v>939.456380788085</v>
      </c>
    </row>
    <row r="48" spans="2:7">
      <c r="B48" s="17">
        <f t="shared" si="0"/>
        <v>15</v>
      </c>
      <c r="C48" s="18">
        <f t="shared" si="1"/>
        <v>500</v>
      </c>
      <c r="D48" s="18">
        <f t="shared" si="2"/>
        <v>12500</v>
      </c>
      <c r="E48" s="18">
        <f t="shared" si="3"/>
        <v>12889.3530312239</v>
      </c>
      <c r="F48" s="18">
        <f t="shared" si="4"/>
        <v>98.8183691423641</v>
      </c>
      <c r="G48" s="18">
        <f t="shared" si="5"/>
        <v>1038.27474993045</v>
      </c>
    </row>
    <row r="49" spans="2:7">
      <c r="B49" s="17">
        <f t="shared" si="0"/>
        <v>16</v>
      </c>
      <c r="C49" s="18">
        <f t="shared" si="1"/>
        <v>500</v>
      </c>
      <c r="D49" s="18">
        <f t="shared" si="2"/>
        <v>13000</v>
      </c>
      <c r="E49" s="18">
        <f t="shared" si="3"/>
        <v>13428.0210903176</v>
      </c>
      <c r="F49" s="18">
        <f t="shared" si="4"/>
        <v>103.114824249791</v>
      </c>
      <c r="G49" s="18">
        <f t="shared" si="5"/>
        <v>1141.38957418024</v>
      </c>
    </row>
    <row r="50" spans="2:7">
      <c r="B50" s="17">
        <f t="shared" si="0"/>
        <v>17</v>
      </c>
      <c r="C50" s="18">
        <f t="shared" si="1"/>
        <v>500</v>
      </c>
      <c r="D50" s="18">
        <f t="shared" si="2"/>
        <v>13500</v>
      </c>
      <c r="E50" s="18">
        <f t="shared" si="3"/>
        <v>13968.3051535885</v>
      </c>
      <c r="F50" s="18">
        <f t="shared" si="4"/>
        <v>107.424168722541</v>
      </c>
      <c r="G50" s="18">
        <f t="shared" si="5"/>
        <v>1248.81374290278</v>
      </c>
    </row>
    <row r="51" spans="2:7">
      <c r="B51" s="17">
        <f t="shared" si="0"/>
        <v>18</v>
      </c>
      <c r="C51" s="18">
        <f t="shared" si="1"/>
        <v>500</v>
      </c>
      <c r="D51" s="18">
        <f t="shared" si="2"/>
        <v>14000</v>
      </c>
      <c r="E51" s="18">
        <f t="shared" si="3"/>
        <v>14510.2100690493</v>
      </c>
      <c r="F51" s="18">
        <f t="shared" si="4"/>
        <v>111.746441228708</v>
      </c>
      <c r="G51" s="18">
        <f t="shared" si="5"/>
        <v>1360.56018413149</v>
      </c>
    </row>
    <row r="52" spans="2:7">
      <c r="B52" s="17">
        <f t="shared" si="0"/>
        <v>19</v>
      </c>
      <c r="C52" s="18">
        <f t="shared" si="1"/>
        <v>500</v>
      </c>
      <c r="D52" s="18">
        <f t="shared" si="2"/>
        <v>14500</v>
      </c>
      <c r="E52" s="18">
        <f t="shared" si="3"/>
        <v>15053.7406992564</v>
      </c>
      <c r="F52" s="18">
        <f t="shared" si="4"/>
        <v>116.081680552394</v>
      </c>
      <c r="G52" s="18">
        <f t="shared" si="5"/>
        <v>1476.64186468388</v>
      </c>
    </row>
    <row r="53" spans="2:7">
      <c r="B53" s="17">
        <f t="shared" si="0"/>
        <v>20</v>
      </c>
      <c r="C53" s="18">
        <f t="shared" si="1"/>
        <v>500</v>
      </c>
      <c r="D53" s="18">
        <f t="shared" si="2"/>
        <v>15000</v>
      </c>
      <c r="E53" s="18">
        <f t="shared" si="3"/>
        <v>15598.9019213542</v>
      </c>
      <c r="F53" s="18">
        <f t="shared" si="4"/>
        <v>120.429925594051</v>
      </c>
      <c r="G53" s="18">
        <f t="shared" si="5"/>
        <v>1597.07179027794</v>
      </c>
    </row>
    <row r="54" spans="2:7">
      <c r="B54" s="17">
        <f t="shared" si="0"/>
        <v>21</v>
      </c>
      <c r="C54" s="18">
        <f t="shared" si="1"/>
        <v>500</v>
      </c>
      <c r="D54" s="18">
        <f t="shared" si="2"/>
        <v>15500</v>
      </c>
      <c r="E54" s="18">
        <f t="shared" si="3"/>
        <v>16145.6986271183</v>
      </c>
      <c r="F54" s="18">
        <f t="shared" si="4"/>
        <v>124.791215370834</v>
      </c>
      <c r="G54" s="18">
        <f t="shared" si="5"/>
        <v>1721.86300564877</v>
      </c>
    </row>
    <row r="55" spans="2:7">
      <c r="B55" s="17">
        <f t="shared" si="0"/>
        <v>22</v>
      </c>
      <c r="C55" s="18">
        <f t="shared" si="1"/>
        <v>500</v>
      </c>
      <c r="D55" s="18">
        <f t="shared" si="2"/>
        <v>16000</v>
      </c>
      <c r="E55" s="18">
        <f t="shared" si="3"/>
        <v>16694.1357229996</v>
      </c>
      <c r="F55" s="18">
        <f t="shared" si="4"/>
        <v>129.165589016946</v>
      </c>
      <c r="G55" s="18">
        <f t="shared" si="5"/>
        <v>1851.02859466571</v>
      </c>
    </row>
    <row r="56" spans="2:7">
      <c r="B56" s="17">
        <f t="shared" si="0"/>
        <v>23</v>
      </c>
      <c r="C56" s="18">
        <f t="shared" si="1"/>
        <v>500</v>
      </c>
      <c r="D56" s="18">
        <f t="shared" si="2"/>
        <v>16500</v>
      </c>
      <c r="E56" s="18">
        <f t="shared" si="3"/>
        <v>17244.2181301686</v>
      </c>
      <c r="F56" s="18">
        <f t="shared" si="4"/>
        <v>133.553085783997</v>
      </c>
      <c r="G56" s="18">
        <f t="shared" si="5"/>
        <v>1984.58168044971</v>
      </c>
    </row>
    <row r="57" spans="2:7">
      <c r="B57" s="17">
        <f t="shared" si="0"/>
        <v>24</v>
      </c>
      <c r="C57" s="18">
        <f t="shared" si="1"/>
        <v>500</v>
      </c>
      <c r="D57" s="18">
        <f t="shared" si="2"/>
        <v>17000</v>
      </c>
      <c r="E57" s="18">
        <f t="shared" si="3"/>
        <v>17795.9507845591</v>
      </c>
      <c r="F57" s="18">
        <f t="shared" si="4"/>
        <v>137.953745041349</v>
      </c>
      <c r="G57" s="18">
        <f t="shared" si="5"/>
        <v>2122.53542549106</v>
      </c>
    </row>
    <row r="58" spans="2:7">
      <c r="B58" s="17" t="str">
        <f t="shared" si="0"/>
        <v/>
      </c>
      <c r="C58" s="18" t="str">
        <f t="shared" si="1"/>
        <v/>
      </c>
      <c r="D58" s="18" t="str">
        <f t="shared" si="2"/>
        <v/>
      </c>
      <c r="E58" s="18" t="str">
        <f t="shared" si="3"/>
        <v/>
      </c>
      <c r="F58" s="18" t="str">
        <f t="shared" si="4"/>
        <v/>
      </c>
      <c r="G58" s="18" t="str">
        <f t="shared" si="5"/>
        <v/>
      </c>
    </row>
    <row r="59" spans="2:7">
      <c r="B59" s="17" t="str">
        <f t="shared" si="0"/>
        <v/>
      </c>
      <c r="C59" s="18" t="str">
        <f t="shared" si="1"/>
        <v/>
      </c>
      <c r="D59" s="18" t="str">
        <f t="shared" si="2"/>
        <v/>
      </c>
      <c r="E59" s="18" t="str">
        <f t="shared" si="3"/>
        <v/>
      </c>
      <c r="F59" s="18" t="str">
        <f t="shared" si="4"/>
        <v/>
      </c>
      <c r="G59" s="18" t="str">
        <f t="shared" si="5"/>
        <v/>
      </c>
    </row>
    <row r="60" spans="2:7">
      <c r="B60" s="17" t="str">
        <f t="shared" si="0"/>
        <v/>
      </c>
      <c r="C60" s="18" t="str">
        <f t="shared" si="1"/>
        <v/>
      </c>
      <c r="D60" s="18" t="str">
        <f t="shared" si="2"/>
        <v/>
      </c>
      <c r="E60" s="18" t="str">
        <f t="shared" si="3"/>
        <v/>
      </c>
      <c r="F60" s="18" t="str">
        <f t="shared" si="4"/>
        <v/>
      </c>
      <c r="G60" s="18" t="str">
        <f t="shared" si="5"/>
        <v/>
      </c>
    </row>
    <row r="61" spans="2:7">
      <c r="B61" s="17" t="str">
        <f t="shared" si="0"/>
        <v/>
      </c>
      <c r="C61" s="18" t="str">
        <f t="shared" si="1"/>
        <v/>
      </c>
      <c r="D61" s="18" t="str">
        <f t="shared" si="2"/>
        <v/>
      </c>
      <c r="E61" s="18" t="str">
        <f t="shared" si="3"/>
        <v/>
      </c>
      <c r="F61" s="18" t="str">
        <f t="shared" si="4"/>
        <v/>
      </c>
      <c r="G61" s="18" t="str">
        <f t="shared" si="5"/>
        <v/>
      </c>
    </row>
    <row r="62" spans="2:7">
      <c r="B62" s="17" t="str">
        <f t="shared" si="0"/>
        <v/>
      </c>
      <c r="C62" s="18" t="str">
        <f t="shared" si="1"/>
        <v/>
      </c>
      <c r="D62" s="18" t="str">
        <f t="shared" si="2"/>
        <v/>
      </c>
      <c r="E62" s="18" t="str">
        <f t="shared" si="3"/>
        <v/>
      </c>
      <c r="F62" s="18" t="str">
        <f t="shared" si="4"/>
        <v/>
      </c>
      <c r="G62" s="18" t="str">
        <f t="shared" si="5"/>
        <v/>
      </c>
    </row>
    <row r="63" spans="2:7">
      <c r="B63" s="17" t="str">
        <f t="shared" si="0"/>
        <v/>
      </c>
      <c r="C63" s="18" t="str">
        <f t="shared" si="1"/>
        <v/>
      </c>
      <c r="D63" s="18" t="str">
        <f t="shared" si="2"/>
        <v/>
      </c>
      <c r="E63" s="18" t="str">
        <f t="shared" si="3"/>
        <v/>
      </c>
      <c r="F63" s="18" t="str">
        <f t="shared" si="4"/>
        <v/>
      </c>
      <c r="G63" s="18" t="str">
        <f t="shared" si="5"/>
        <v/>
      </c>
    </row>
    <row r="64" spans="2:7">
      <c r="B64" s="17" t="str">
        <f t="shared" si="0"/>
        <v/>
      </c>
      <c r="C64" s="18" t="str">
        <f t="shared" si="1"/>
        <v/>
      </c>
      <c r="D64" s="18" t="str">
        <f t="shared" si="2"/>
        <v/>
      </c>
      <c r="E64" s="18" t="str">
        <f t="shared" si="3"/>
        <v/>
      </c>
      <c r="F64" s="18" t="str">
        <f t="shared" si="4"/>
        <v/>
      </c>
      <c r="G64" s="18" t="str">
        <f t="shared" si="5"/>
        <v/>
      </c>
    </row>
    <row r="65" spans="2:7">
      <c r="B65" s="17" t="str">
        <f t="shared" si="0"/>
        <v/>
      </c>
      <c r="C65" s="18" t="str">
        <f t="shared" si="1"/>
        <v/>
      </c>
      <c r="D65" s="18" t="str">
        <f t="shared" si="2"/>
        <v/>
      </c>
      <c r="E65" s="18" t="str">
        <f t="shared" si="3"/>
        <v/>
      </c>
      <c r="F65" s="18" t="str">
        <f t="shared" si="4"/>
        <v/>
      </c>
      <c r="G65" s="18" t="str">
        <f t="shared" si="5"/>
        <v/>
      </c>
    </row>
    <row r="66" spans="2:7">
      <c r="B66" s="17" t="str">
        <f t="shared" si="0"/>
        <v/>
      </c>
      <c r="C66" s="18" t="str">
        <f t="shared" si="1"/>
        <v/>
      </c>
      <c r="D66" s="18" t="str">
        <f t="shared" si="2"/>
        <v/>
      </c>
      <c r="E66" s="18" t="str">
        <f t="shared" si="3"/>
        <v/>
      </c>
      <c r="F66" s="18" t="str">
        <f t="shared" si="4"/>
        <v/>
      </c>
      <c r="G66" s="18" t="str">
        <f t="shared" si="5"/>
        <v/>
      </c>
    </row>
    <row r="67" spans="2:7">
      <c r="B67" s="17" t="str">
        <f t="shared" si="0"/>
        <v/>
      </c>
      <c r="C67" s="18" t="str">
        <f t="shared" si="1"/>
        <v/>
      </c>
      <c r="D67" s="18" t="str">
        <f t="shared" si="2"/>
        <v/>
      </c>
      <c r="E67" s="18" t="str">
        <f t="shared" si="3"/>
        <v/>
      </c>
      <c r="F67" s="18" t="str">
        <f t="shared" si="4"/>
        <v/>
      </c>
      <c r="G67" s="18" t="str">
        <f t="shared" si="5"/>
        <v/>
      </c>
    </row>
    <row r="68" spans="2:7">
      <c r="B68" s="17" t="str">
        <f t="shared" si="0"/>
        <v/>
      </c>
      <c r="C68" s="18" t="str">
        <f t="shared" si="1"/>
        <v/>
      </c>
      <c r="D68" s="18" t="str">
        <f t="shared" si="2"/>
        <v/>
      </c>
      <c r="E68" s="18" t="str">
        <f t="shared" si="3"/>
        <v/>
      </c>
      <c r="F68" s="18" t="str">
        <f t="shared" si="4"/>
        <v/>
      </c>
      <c r="G68" s="18" t="str">
        <f t="shared" si="5"/>
        <v/>
      </c>
    </row>
    <row r="69" spans="2:7">
      <c r="B69" s="17" t="str">
        <f t="shared" si="0"/>
        <v/>
      </c>
      <c r="C69" s="18" t="str">
        <f t="shared" si="1"/>
        <v/>
      </c>
      <c r="D69" s="18" t="str">
        <f t="shared" si="2"/>
        <v/>
      </c>
      <c r="E69" s="18" t="str">
        <f t="shared" si="3"/>
        <v/>
      </c>
      <c r="F69" s="18" t="str">
        <f t="shared" si="4"/>
        <v/>
      </c>
      <c r="G69" s="18" t="str">
        <f t="shared" si="5"/>
        <v/>
      </c>
    </row>
    <row r="70" spans="2:7">
      <c r="B70" s="17" t="str">
        <f t="shared" si="0"/>
        <v/>
      </c>
      <c r="C70" s="18" t="str">
        <f t="shared" si="1"/>
        <v/>
      </c>
      <c r="D70" s="18" t="str">
        <f t="shared" si="2"/>
        <v/>
      </c>
      <c r="E70" s="18" t="str">
        <f t="shared" si="3"/>
        <v/>
      </c>
      <c r="F70" s="18" t="str">
        <f t="shared" si="4"/>
        <v/>
      </c>
      <c r="G70" s="18" t="str">
        <f t="shared" si="5"/>
        <v/>
      </c>
    </row>
    <row r="71" spans="2:7">
      <c r="B71" s="17" t="str">
        <f t="shared" si="0"/>
        <v/>
      </c>
      <c r="C71" s="18" t="str">
        <f t="shared" si="1"/>
        <v/>
      </c>
      <c r="D71" s="18" t="str">
        <f t="shared" si="2"/>
        <v/>
      </c>
      <c r="E71" s="18" t="str">
        <f t="shared" si="3"/>
        <v/>
      </c>
      <c r="F71" s="18" t="str">
        <f t="shared" si="4"/>
        <v/>
      </c>
      <c r="G71" s="18" t="str">
        <f t="shared" si="5"/>
        <v/>
      </c>
    </row>
    <row r="72" spans="2:7">
      <c r="B72" s="17" t="str">
        <f t="shared" si="0"/>
        <v/>
      </c>
      <c r="C72" s="18" t="str">
        <f t="shared" si="1"/>
        <v/>
      </c>
      <c r="D72" s="18" t="str">
        <f t="shared" si="2"/>
        <v/>
      </c>
      <c r="E72" s="18" t="str">
        <f t="shared" si="3"/>
        <v/>
      </c>
      <c r="F72" s="18" t="str">
        <f t="shared" si="4"/>
        <v/>
      </c>
      <c r="G72" s="18" t="str">
        <f t="shared" si="5"/>
        <v/>
      </c>
    </row>
    <row r="73" spans="2:7">
      <c r="B73" s="17" t="str">
        <f t="shared" si="0"/>
        <v/>
      </c>
      <c r="C73" s="18" t="str">
        <f t="shared" si="1"/>
        <v/>
      </c>
      <c r="D73" s="18" t="str">
        <f t="shared" si="2"/>
        <v/>
      </c>
      <c r="E73" s="18" t="str">
        <f t="shared" si="3"/>
        <v/>
      </c>
      <c r="F73" s="18" t="str">
        <f t="shared" si="4"/>
        <v/>
      </c>
      <c r="G73" s="18" t="str">
        <f t="shared" si="5"/>
        <v/>
      </c>
    </row>
    <row r="74" spans="2:7">
      <c r="B74" s="17" t="str">
        <f t="shared" si="0"/>
        <v/>
      </c>
      <c r="C74" s="18" t="str">
        <f t="shared" si="1"/>
        <v/>
      </c>
      <c r="D74" s="18" t="str">
        <f t="shared" si="2"/>
        <v/>
      </c>
      <c r="E74" s="18" t="str">
        <f t="shared" si="3"/>
        <v/>
      </c>
      <c r="F74" s="18" t="str">
        <f t="shared" si="4"/>
        <v/>
      </c>
      <c r="G74" s="18" t="str">
        <f t="shared" si="5"/>
        <v/>
      </c>
    </row>
    <row r="75" spans="2:7">
      <c r="B75" s="17" t="str">
        <f t="shared" si="0"/>
        <v/>
      </c>
      <c r="C75" s="18" t="str">
        <f t="shared" si="1"/>
        <v/>
      </c>
      <c r="D75" s="18" t="str">
        <f t="shared" si="2"/>
        <v/>
      </c>
      <c r="E75" s="18" t="str">
        <f t="shared" si="3"/>
        <v/>
      </c>
      <c r="F75" s="18" t="str">
        <f t="shared" si="4"/>
        <v/>
      </c>
      <c r="G75" s="18" t="str">
        <f t="shared" si="5"/>
        <v/>
      </c>
    </row>
    <row r="76" spans="2:7">
      <c r="B76" s="17" t="str">
        <f t="shared" si="0"/>
        <v/>
      </c>
      <c r="C76" s="18" t="str">
        <f t="shared" si="1"/>
        <v/>
      </c>
      <c r="D76" s="18" t="str">
        <f t="shared" si="2"/>
        <v/>
      </c>
      <c r="E76" s="18" t="str">
        <f t="shared" si="3"/>
        <v/>
      </c>
      <c r="F76" s="18" t="str">
        <f t="shared" si="4"/>
        <v/>
      </c>
      <c r="G76" s="18" t="str">
        <f t="shared" si="5"/>
        <v/>
      </c>
    </row>
    <row r="77" spans="2:7">
      <c r="B77" s="17" t="str">
        <f t="shared" si="0"/>
        <v/>
      </c>
      <c r="C77" s="18" t="str">
        <f t="shared" si="1"/>
        <v/>
      </c>
      <c r="D77" s="18" t="str">
        <f t="shared" si="2"/>
        <v/>
      </c>
      <c r="E77" s="18" t="str">
        <f t="shared" si="3"/>
        <v/>
      </c>
      <c r="F77" s="18" t="str">
        <f t="shared" si="4"/>
        <v/>
      </c>
      <c r="G77" s="18" t="str">
        <f t="shared" si="5"/>
        <v/>
      </c>
    </row>
    <row r="78" spans="2:7">
      <c r="B78" s="17" t="str">
        <f t="shared" si="0"/>
        <v/>
      </c>
      <c r="C78" s="18" t="str">
        <f t="shared" si="1"/>
        <v/>
      </c>
      <c r="D78" s="18" t="str">
        <f t="shared" si="2"/>
        <v/>
      </c>
      <c r="E78" s="18" t="str">
        <f t="shared" si="3"/>
        <v/>
      </c>
      <c r="F78" s="18" t="str">
        <f t="shared" si="4"/>
        <v/>
      </c>
      <c r="G78" s="18" t="str">
        <f t="shared" si="5"/>
        <v/>
      </c>
    </row>
    <row r="79" spans="2:7">
      <c r="B79" s="17" t="str">
        <f t="shared" si="0"/>
        <v/>
      </c>
      <c r="C79" s="18" t="str">
        <f t="shared" si="1"/>
        <v/>
      </c>
      <c r="D79" s="18" t="str">
        <f t="shared" si="2"/>
        <v/>
      </c>
      <c r="E79" s="18" t="str">
        <f t="shared" si="3"/>
        <v/>
      </c>
      <c r="F79" s="18" t="str">
        <f t="shared" si="4"/>
        <v/>
      </c>
      <c r="G79" s="18" t="str">
        <f t="shared" si="5"/>
        <v/>
      </c>
    </row>
    <row r="80" spans="2:7">
      <c r="B80" s="17" t="str">
        <f t="shared" si="0"/>
        <v/>
      </c>
      <c r="C80" s="18" t="str">
        <f t="shared" si="1"/>
        <v/>
      </c>
      <c r="D80" s="18" t="str">
        <f t="shared" si="2"/>
        <v/>
      </c>
      <c r="E80" s="18" t="str">
        <f t="shared" si="3"/>
        <v/>
      </c>
      <c r="F80" s="18" t="str">
        <f t="shared" si="4"/>
        <v/>
      </c>
      <c r="G80" s="18" t="str">
        <f t="shared" si="5"/>
        <v/>
      </c>
    </row>
    <row r="81" spans="2:7">
      <c r="B81" s="17" t="str">
        <f t="shared" si="0"/>
        <v/>
      </c>
      <c r="C81" s="18" t="str">
        <f t="shared" si="1"/>
        <v/>
      </c>
      <c r="D81" s="18" t="str">
        <f t="shared" si="2"/>
        <v/>
      </c>
      <c r="E81" s="18" t="str">
        <f t="shared" si="3"/>
        <v/>
      </c>
      <c r="F81" s="18" t="str">
        <f t="shared" si="4"/>
        <v/>
      </c>
      <c r="G81" s="18" t="str">
        <f t="shared" si="5"/>
        <v/>
      </c>
    </row>
    <row r="82" spans="2:7">
      <c r="B82" s="17" t="str">
        <f t="shared" si="0"/>
        <v/>
      </c>
      <c r="C82" s="18" t="str">
        <f t="shared" si="1"/>
        <v/>
      </c>
      <c r="D82" s="18" t="str">
        <f t="shared" si="2"/>
        <v/>
      </c>
      <c r="E82" s="18" t="str">
        <f t="shared" si="3"/>
        <v/>
      </c>
      <c r="F82" s="18" t="str">
        <f t="shared" si="4"/>
        <v/>
      </c>
      <c r="G82" s="18" t="str">
        <f t="shared" si="5"/>
        <v/>
      </c>
    </row>
    <row r="83" spans="2:7">
      <c r="B83" s="17" t="str">
        <f t="shared" si="0"/>
        <v/>
      </c>
      <c r="C83" s="18" t="str">
        <f t="shared" si="1"/>
        <v/>
      </c>
      <c r="D83" s="18" t="str">
        <f t="shared" si="2"/>
        <v/>
      </c>
      <c r="E83" s="18" t="str">
        <f t="shared" si="3"/>
        <v/>
      </c>
      <c r="F83" s="18" t="str">
        <f t="shared" si="4"/>
        <v/>
      </c>
      <c r="G83" s="18" t="str">
        <f t="shared" si="5"/>
        <v/>
      </c>
    </row>
    <row r="84" spans="2:7">
      <c r="B84" s="17" t="str">
        <f t="shared" si="0"/>
        <v/>
      </c>
      <c r="C84" s="18" t="str">
        <f t="shared" si="1"/>
        <v/>
      </c>
      <c r="D84" s="18" t="str">
        <f t="shared" si="2"/>
        <v/>
      </c>
      <c r="E84" s="18" t="str">
        <f t="shared" si="3"/>
        <v/>
      </c>
      <c r="F84" s="18" t="str">
        <f t="shared" si="4"/>
        <v/>
      </c>
      <c r="G84" s="18" t="str">
        <f t="shared" si="5"/>
        <v/>
      </c>
    </row>
    <row r="85" spans="2:7">
      <c r="B85" s="17" t="str">
        <f t="shared" si="0"/>
        <v/>
      </c>
      <c r="C85" s="18" t="str">
        <f t="shared" si="1"/>
        <v/>
      </c>
      <c r="D85" s="18" t="str">
        <f t="shared" si="2"/>
        <v/>
      </c>
      <c r="E85" s="18" t="str">
        <f t="shared" si="3"/>
        <v/>
      </c>
      <c r="F85" s="18" t="str">
        <f t="shared" si="4"/>
        <v/>
      </c>
      <c r="G85" s="18" t="str">
        <f t="shared" si="5"/>
        <v/>
      </c>
    </row>
    <row r="86" spans="2:7">
      <c r="B86" s="17" t="str">
        <f t="shared" si="0"/>
        <v/>
      </c>
      <c r="C86" s="18" t="str">
        <f t="shared" si="1"/>
        <v/>
      </c>
      <c r="D86" s="18" t="str">
        <f t="shared" si="2"/>
        <v/>
      </c>
      <c r="E86" s="18" t="str">
        <f t="shared" si="3"/>
        <v/>
      </c>
      <c r="F86" s="18" t="str">
        <f t="shared" si="4"/>
        <v/>
      </c>
      <c r="G86" s="18" t="str">
        <f t="shared" si="5"/>
        <v/>
      </c>
    </row>
    <row r="87" spans="2:7">
      <c r="B87" s="17" t="str">
        <f t="shared" si="0"/>
        <v/>
      </c>
      <c r="C87" s="18" t="str">
        <f t="shared" si="1"/>
        <v/>
      </c>
      <c r="D87" s="18" t="str">
        <f t="shared" si="2"/>
        <v/>
      </c>
      <c r="E87" s="18" t="str">
        <f t="shared" si="3"/>
        <v/>
      </c>
      <c r="F87" s="18" t="str">
        <f t="shared" si="4"/>
        <v/>
      </c>
      <c r="G87" s="18" t="str">
        <f t="shared" si="5"/>
        <v/>
      </c>
    </row>
    <row r="88" spans="2:7">
      <c r="B88" s="17" t="str">
        <f t="shared" si="0"/>
        <v/>
      </c>
      <c r="C88" s="18" t="str">
        <f t="shared" si="1"/>
        <v/>
      </c>
      <c r="D88" s="18" t="str">
        <f t="shared" si="2"/>
        <v/>
      </c>
      <c r="E88" s="18" t="str">
        <f t="shared" si="3"/>
        <v/>
      </c>
      <c r="F88" s="18" t="str">
        <f t="shared" si="4"/>
        <v/>
      </c>
      <c r="G88" s="18" t="str">
        <f t="shared" si="5"/>
        <v/>
      </c>
    </row>
    <row r="89" spans="2:7">
      <c r="B89" s="17" t="str">
        <f t="shared" si="0"/>
        <v/>
      </c>
      <c r="C89" s="18" t="str">
        <f t="shared" si="1"/>
        <v/>
      </c>
      <c r="D89" s="18" t="str">
        <f t="shared" si="2"/>
        <v/>
      </c>
      <c r="E89" s="18" t="str">
        <f t="shared" si="3"/>
        <v/>
      </c>
      <c r="F89" s="18" t="str">
        <f t="shared" si="4"/>
        <v/>
      </c>
      <c r="G89" s="18" t="str">
        <f t="shared" si="5"/>
        <v/>
      </c>
    </row>
    <row r="90" spans="2:7">
      <c r="B90" s="17" t="str">
        <f t="shared" si="0"/>
        <v/>
      </c>
      <c r="C90" s="18" t="str">
        <f t="shared" si="1"/>
        <v/>
      </c>
      <c r="D90" s="18" t="str">
        <f t="shared" si="2"/>
        <v/>
      </c>
      <c r="E90" s="18" t="str">
        <f t="shared" si="3"/>
        <v/>
      </c>
      <c r="F90" s="18" t="str">
        <f t="shared" si="4"/>
        <v/>
      </c>
      <c r="G90" s="18" t="str">
        <f t="shared" si="5"/>
        <v/>
      </c>
    </row>
    <row r="91" spans="2:7">
      <c r="B91" s="17" t="str">
        <f t="shared" si="0"/>
        <v/>
      </c>
      <c r="C91" s="18" t="str">
        <f t="shared" si="1"/>
        <v/>
      </c>
      <c r="D91" s="18" t="str">
        <f t="shared" si="2"/>
        <v/>
      </c>
      <c r="E91" s="18" t="str">
        <f t="shared" si="3"/>
        <v/>
      </c>
      <c r="F91" s="18" t="str">
        <f t="shared" si="4"/>
        <v/>
      </c>
      <c r="G91" s="18" t="str">
        <f t="shared" si="5"/>
        <v/>
      </c>
    </row>
    <row r="92" spans="2:7">
      <c r="B92" s="17" t="str">
        <f t="shared" si="0"/>
        <v/>
      </c>
      <c r="C92" s="18" t="str">
        <f t="shared" si="1"/>
        <v/>
      </c>
      <c r="D92" s="18" t="str">
        <f t="shared" si="2"/>
        <v/>
      </c>
      <c r="E92" s="18" t="str">
        <f t="shared" si="3"/>
        <v/>
      </c>
      <c r="F92" s="18" t="str">
        <f t="shared" si="4"/>
        <v/>
      </c>
      <c r="G92" s="18" t="str">
        <f t="shared" si="5"/>
        <v/>
      </c>
    </row>
    <row r="93" spans="2:7">
      <c r="B93" s="17" t="str">
        <f t="shared" si="0"/>
        <v/>
      </c>
      <c r="C93" s="18" t="str">
        <f t="shared" si="1"/>
        <v/>
      </c>
      <c r="D93" s="18" t="str">
        <f t="shared" si="2"/>
        <v/>
      </c>
      <c r="E93" s="18" t="str">
        <f t="shared" si="3"/>
        <v/>
      </c>
      <c r="F93" s="18" t="str">
        <f t="shared" si="4"/>
        <v/>
      </c>
      <c r="G93" s="18" t="str">
        <f t="shared" si="5"/>
        <v/>
      </c>
    </row>
  </sheetData>
  <mergeCells count="7">
    <mergeCell ref="B2:F2"/>
    <mergeCell ref="B13:C13"/>
    <mergeCell ref="D13:F13"/>
    <mergeCell ref="B21:F21"/>
    <mergeCell ref="B23:C23"/>
    <mergeCell ref="D23:F23"/>
    <mergeCell ref="B31:G3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marcx</cp:lastModifiedBy>
  <cp:revision>0</cp:revision>
  <dcterms:created xsi:type="dcterms:W3CDTF">2026-09-23T00:28:00Z</dcterms:created>
  <dcterms:modified xsi:type="dcterms:W3CDTF">2026-09-23T00:58:22Z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7C51239B53C04E7C95F90AB53A5A14FF_12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